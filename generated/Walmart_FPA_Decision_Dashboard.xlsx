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cf4f68214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5daffae9e2343e6"/>
    <x:sheet xmlns:r="http://schemas.openxmlformats.org/officeDocument/2006/relationships" name="Analysis" sheetId="2" r:id="Rc0acdcb8f5fd4cf8"/>
    <x:sheet xmlns:r="http://schemas.openxmlformats.org/officeDocument/2006/relationships" name="Inputs" sheetId="3" r:id="Rf24444f4fdc5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(#,##0);&quot;–&quot;"/>
    <x:numFmt numFmtId="201" formatCode="0.0%;(0.0%);&quot;–&quot;"/>
    <x:numFmt numFmtId="202" formatCode="0.00"/>
    <x:numFmt numFmtId="203" formatCode="0.00%"/>
    <x:numFmt numFmtId="204" formatCode="0.000"/>
    <x:numFmt numFmtId="205" formatCode="0.000000"/>
    <x:numFmt numFmtId="206" formatCode="0.0"/>
  </x:numFmts>
  <x:fonts count="9">
    <x:font>
      <x:sz val="11"/>
      <x:name val="Carlito"/>
    </x:font>
    <x:font>
      <x:sz val="10"/>
      <x:color rgb="FF16324F"/>
      <x:name val="Arial"/>
    </x:font>
    <x:font>
      <x:b/>
      <x:sz val="16"/>
      <x:color rgb="FF16324F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6324F"/>
      <x:name val="Arial"/>
    </x:font>
    <x:font>
      <x:sz val="10"/>
      <x:color rgb="FF008040"/>
      <x:name val="Arial"/>
    </x:font>
    <x:font>
      <x:b/>
      <x:sz val="22"/>
      <x:color rgb="FF16324F"/>
      <x:name val="Arial"/>
    </x:font>
    <x:font>
      <x:i/>
      <x:sz val="10"/>
      <x:color rgb="FF5262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57F78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204" fontId="1" fillId="0" borderId="0" xfId="0" applyNumberFormat="1" applyFont="1" applyFill="1" applyBorder="1"/>
    <x:xf numFmtId="203" fontId="1" fillId="0" borderId="0" xfId="0" applyNumberFormat="1" applyFont="1" applyFill="1" applyBorder="1"/>
    <x:xf numFmtId="205" fontId="6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7" fillId="0" borderId="0" xfId="0" applyNumberFormat="1" applyFont="1" applyFill="1" applyBorder="1"/>
    <x:xf numFmtId="206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805C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bf5a95f6d42df" /><Relationship Type="http://schemas.openxmlformats.org/officeDocument/2006/relationships/theme" Target="/xl/theme/theme1.xml" Id="R48c6983979094126" /><Relationship Type="http://schemas.openxmlformats.org/officeDocument/2006/relationships/sharedStrings" Target="/xl/sharedStrings.xml" Id="Rdafaea4e0c594518" /><Relationship Type="http://schemas.openxmlformats.org/officeDocument/2006/relationships/worksheet" Target="/xl/worksheets/sheet1.xml" Id="Rc5daffae9e2343e6" /><Relationship Type="http://schemas.openxmlformats.org/officeDocument/2006/relationships/worksheet" Target="/xl/worksheets/sheet2.xml" Id="Rc0acdcb8f5fd4cf8" /><Relationship Type="http://schemas.openxmlformats.org/officeDocument/2006/relationships/worksheet" Target="/xl/worksheets/sheet3.xml" Id="Rf24444f4fdc541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b47727264a4ad5" /><Relationship Type="http://schemas.openxmlformats.org/officeDocument/2006/relationships/chart" Target="/xl/drawings/charts/chart2.xml" Id="Rffdff6822f37467e" /><Relationship Type="http://schemas.openxmlformats.org/officeDocument/2006/relationships/chart" Target="/xl/drawings/charts/chart3.xml" Id="Rdee9722e6c5942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Net sales ($bn)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sales ($bn)</c:v>
          </c:tx>
          <c:spPr>
            <a:solidFill xmlns:a="http://schemas.openxmlformats.org/drawingml/2006/main">
              <a:srgbClr val="157F78"/>
            </a:solidFill>
            <a:ln xmlns:a="http://schemas.openxmlformats.org/drawingml/2006/main" w="19050">
              <a:solidFill>
                <a:srgbClr val="157F78"/>
              </a:solidFill>
              <a:prstDash val="solid"/>
            </a:ln>
          </c:spPr>
          <c:marker>
            <c:symbol val="none"/>
          </c:marker>
          <c:cat>
            <c:strRef>
              <c:f>'Analysis'!$B$6:$B$9</c:f>
              <c:strCache>
                <c:ptCount val="0"/>
              </c:strCache>
            </c:strRef>
          </c:cat>
          <c:val>
            <c:numRef>
              <c:f>'Analysis'!$C$6:$C$9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Operating cash, capex and free cash ($bn)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Operating cash</c:v>
          </c:tx>
          <c:spPr>
            <a:solidFill xmlns:a="http://schemas.openxmlformats.org/drawingml/2006/main">
              <a:srgbClr val="16324F"/>
            </a:solidFill>
          </c:spPr>
          <c:invertIfNegative val="0"/>
          <c:cat>
            <c:strRef>
              <c:f>'Analysis'!$B$40:$B$42</c:f>
              <c:strCache>
                <c:ptCount val="0"/>
              </c:strCache>
            </c:strRef>
          </c:cat>
          <c:val>
            <c:numRef>
              <c:f>'Analysis'!$C$40:$C$42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Capex</c:v>
          </c:tx>
          <c:spPr>
            <a:solidFill xmlns:a="http://schemas.openxmlformats.org/drawingml/2006/main">
              <a:srgbClr val="86B6B0"/>
            </a:solidFill>
          </c:spPr>
          <c:invertIfNegative val="0"/>
          <c:cat>
            <c:strRef>
              <c:f>'Analysis'!$B$40:$B$42</c:f>
              <c:strCache>
                <c:ptCount val="0"/>
              </c:strCache>
            </c:strRef>
          </c:cat>
          <c:val>
            <c:numRef>
              <c:f>'Analysis'!$D$40:$D$42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Free cash</c:v>
          </c:tx>
          <c:spPr>
            <a:solidFill xmlns:a="http://schemas.openxmlformats.org/drawingml/2006/main">
              <a:srgbClr val="157F78"/>
            </a:solidFill>
          </c:spPr>
          <c:invertIfNegative val="0"/>
          <c:cat>
            <c:strRef>
              <c:f>'Analysis'!$B$40:$B$42</c:f>
              <c:strCache>
                <c:ptCount val="0"/>
              </c:strCache>
            </c:strRef>
          </c:cat>
          <c:val>
            <c:numRef>
              <c:f>'Analysis'!$E$40:$E$42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Cash-conversion cycle (days)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Cash cycle days</c:v>
          </c:tx>
          <c:spPr>
            <a:solidFill xmlns:a="http://schemas.openxmlformats.org/drawingml/2006/main">
              <a:srgbClr val="157F78"/>
            </a:solidFill>
            <a:ln xmlns:a="http://schemas.openxmlformats.org/drawingml/2006/main" w="19050">
              <a:solidFill>
                <a:srgbClr val="157F78"/>
              </a:solidFill>
              <a:prstDash val="solid"/>
            </a:ln>
          </c:spPr>
          <c:marker>
            <c:symbol val="none"/>
          </c:marker>
          <c:cat>
            <c:strRef>
              <c:f>'Analysis'!$B$40:$B$42</c:f>
              <c:strCache>
                <c:ptCount val="0"/>
              </c:strCache>
            </c:strRef>
          </c:cat>
          <c:val>
            <c:numRef>
              <c:f>'Analysis'!$F$40:$F$42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11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b47727264a4ad5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dff6822f37467e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16</xdr:col>
      <xdr:colOff>0</xdr:colOff>
      <xdr:row>44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e9722e6c59421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2c50ee23454469a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" hidden="0" customWidth="1"/>
    <x:col min="2" max="2" width="3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2" customHeight="1">
      <x:c r="A2" s="1"/>
      <x:c r="B2" s="2" t="str">
        <x:v>Walmart performance and cash dashboard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1"/>
      <x:c r="B3" s="1" t="str">
        <x:v>FY2024–FY2026 actuals and FY2025 initial public guidance. Independent portfolio by Muhammad Jawad, ACA/ACCA.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2" customHeight="1">
      <x:c r="A4" s="1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2" customHeight="1">
      <x:c r="A6" s="1"/>
      <x:c r="B6" s="1" t="str">
        <x:v>FY26 net sales ($bn)</x:v>
      </x:c>
      <x:c r="C6" s="1"/>
      <x:c r="D6" s="1"/>
      <x:c r="E6" s="1" t="str">
        <x:v>Operating margin</x:v>
      </x:c>
      <x:c r="F6" s="1"/>
      <x:c r="G6" s="1"/>
      <x:c r="H6" s="1"/>
      <x:c r="I6" s="1" t="str">
        <x:v>Operating cash ($bn)</x:v>
      </x:c>
      <x:c r="J6" s="1"/>
      <x:c r="K6" s="1"/>
      <x:c r="L6" s="1"/>
      <x:c r="M6" s="1" t="str">
        <x:v>Free cash flow ($bn)</x:v>
      </x:c>
      <x:c r="N6" s="1"/>
      <x:c r="O6" s="1"/>
      <x:c r="P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2" customHeight="1">
      <x:c r="A8" s="1"/>
      <x:c r="B8" s="25" t="n">
        <x:f>'Analysis'!C9</x:f>
        <x:v>706.413</x:v>
      </x:c>
      <x:c r="C8" s="1"/>
      <x:c r="D8" s="1"/>
      <x:c r="E8" s="26" t="n">
        <x:f>'Analysis'!D9</x:f>
        <x:v>0.04222034418958881</x:v>
      </x:c>
      <x:c r="F8" s="1"/>
      <x:c r="G8" s="1"/>
      <x:c r="H8" s="1"/>
      <x:c r="I8" s="25" t="n">
        <x:f>'Analysis'!E9</x:f>
        <x:v>41.565</x:v>
      </x:c>
      <x:c r="J8" s="1"/>
      <x:c r="K8" s="1"/>
      <x:c r="L8" s="1"/>
      <x:c r="M8" s="25" t="n">
        <x:f>'Analysis'!G9</x:f>
        <x:v>14.922999999999998</x:v>
      </x:c>
      <x:c r="N8" s="1"/>
      <x:c r="O8" s="1"/>
      <x:c r="P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2" customHeight="1">
      <x:c r="A10" s="1"/>
      <x:c r="B10" s="1" t="str">
        <x:v>Net sales growth</x:v>
      </x:c>
      <x:c r="C10" s="1"/>
      <x:c r="D10" s="18" t="n">
        <x:f>'Analysis'!H9</x:f>
        <x:v>0.047254565346948496</x:v>
      </x:c>
      <x:c r="E10" s="1"/>
      <x:c r="F10" s="1"/>
      <x:c r="G10" s="1"/>
      <x:c r="H10" s="1"/>
      <x:c r="I10" s="1" t="str">
        <x:v>Cash cycle (days)</x:v>
      </x:c>
      <x:c r="J10" s="1"/>
      <x:c r="K10" s="1"/>
      <x:c r="L10" s="19" t="n">
        <x:f>'Analysis'!L9</x:f>
        <x:v>3.2677310657085457</x:v>
      </x:c>
      <x:c r="M10" s="1"/>
      <x:c r="N10" s="1"/>
      <x:c r="O10" s="1"/>
      <x:c r="P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2" customHeight="1">
      <x:c r="A28" s="1"/>
      <x:c r="B28" s="14" t="str">
        <x:v>FY25 initial public guidance comparison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30" customHeight="1">
      <x:c r="A30" s="1"/>
      <x:c r="B30" s="7" t="str">
        <x:v>Metric</x:v>
      </x:c>
      <x:c r="C30" s="7" t="str">
        <x:v>Low</x:v>
      </x:c>
      <x:c r="D30" s="7" t="str">
        <x:v>High</x:v>
      </x:c>
      <x:c r="E30" s="7" t="str">
        <x:v>Actual</x:v>
      </x:c>
      <x:c r="F30" s="7" t="str">
        <x:v>Position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2" customHeight="1">
      <x:c r="A31" s="1"/>
      <x:c r="B31" s="1" t="str">
        <x:f>'Analysis'!B14</x:f>
        <x:v>Net sales growth (cc)</x:v>
      </x:c>
      <x:c r="C31" s="20" t="n">
        <x:f>'Analysis'!C14</x:f>
        <x:v>0.03</x:v>
      </x:c>
      <x:c r="D31" s="20" t="n">
        <x:f>'Analysis'!D14</x:f>
        <x:v>0.04</x:v>
      </x:c>
      <x:c r="E31" s="20" t="n">
        <x:f>'Analysis'!F14</x:f>
        <x:v>0.0546171478</x:v>
      </x:c>
      <x:c r="F31" s="1" t="str">
        <x:f>'Analysis'!H14</x:f>
        <x:v>ABOVE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2" customHeight="1">
      <x:c r="A32" s="1"/>
      <x:c r="B32" s="1" t="str">
        <x:f>'Analysis'!B15</x:f>
        <x:v>Adjusted OI growth (cc)</x:v>
      </x:c>
      <x:c r="C32" s="20" t="n">
        <x:f>'Analysis'!C15</x:f>
        <x:v>0.04</x:v>
      </x:c>
      <x:c r="D32" s="20" t="n">
        <x:f>'Analysis'!D15</x:f>
        <x:v>0.06</x:v>
      </x:c>
      <x:c r="E32" s="20" t="n">
        <x:f>'Analysis'!F15</x:f>
        <x:v>0.0974358974</x:v>
      </x:c>
      <x:c r="F32" s="1" t="str">
        <x:f>'Analysis'!H15</x:f>
        <x:v>ABOVE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2" customHeight="1">
      <x:c r="A33" s="1"/>
      <x:c r="B33" s="1" t="str">
        <x:f>'Analysis'!B16</x:f>
        <x:v>Adjusted EPS</x:v>
      </x:c>
      <x:c r="C33" s="17" t="n">
        <x:f>'Analysis'!C16</x:f>
        <x:v>2.23</x:v>
      </x:c>
      <x:c r="D33" s="17" t="n">
        <x:f>'Analysis'!D16</x:f>
        <x:v>2.37</x:v>
      </x:c>
      <x:c r="E33" s="17" t="n">
        <x:f>'Analysis'!F16</x:f>
        <x:v>2.51</x:v>
      </x:c>
      <x:c r="F33" s="1" t="str">
        <x:f>'Analysis'!H16</x:f>
        <x:v>ABOVE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2" customHeight="1">
      <x:c r="A34" s="1"/>
      <x:c r="B34" s="1" t="str">
        <x:f>'Analysis'!B17</x:f>
        <x:v>Capex / net sales</x:v>
      </x:c>
      <x:c r="C34" s="20" t="n">
        <x:f>'Analysis'!C17</x:f>
        <x:v>0.03</x:v>
      </x:c>
      <x:c r="D34" s="20" t="n">
        <x:f>'Analysis'!D17</x:f>
        <x:v>0.035</x:v>
      </x:c>
      <x:c r="E34" s="20" t="n">
        <x:f>'Analysis'!F17</x:f>
        <x:v>0.0352582064</x:v>
      </x:c>
      <x:c r="F34" s="1" t="str">
        <x:f>'Analysis'!H17</x:f>
        <x:v>ABOVE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2" customHeight="1">
      <x:c r="A37" s="1"/>
      <x:c r="B37" s="1" t="str">
        <x:v>Capex above guidance requires a capital-allocation review.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2" customHeight="1">
      <x:c r="A38" s="1"/>
      <x:c r="B38" s="1" t="str">
        <x:v>Growth rows use constant currency. Operating income is adjusted.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2" customHeight="1">
      <x:c r="A40" s="1"/>
      <x:c r="B40" s="14" t="str">
        <x:v>Review focus</x:v>
      </x:c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2" customHeight="1">
      <x:c r="A41" s="1"/>
      <x:c r="B41" s="1" t="str">
        <x:v>Compare margin growth with sales growth.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2" customHeight="1">
      <x:c r="A42" s="1"/>
      <x:c r="B42" s="1" t="str">
        <x:v>Review cash generation alongside reinvestment.</x:v>
      </x:c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2" customHeight="1">
      <x:c r="A43" s="1"/>
      <x:c r="B43" s="1" t="str">
        <x:v>Investigate the drivers of the cash-conversion cycle.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2" customHeight="1">
      <x:c r="A46" s="1"/>
      <x:c r="B46" s="27" t="str">
        <x:v>Public-data demonstration. No internal Walmart budget or employer/client data.</x:v>
      </x:c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</x:row>
    <x:row r="47" ht="22" customHeight="1">
      <x:c r="A47" s="1"/>
      <x:c r="B47" s="27" t="str">
        <x:v>Historical scope. Forecast and valuation modules remain separate modelling demonstrations.</x:v>
      </x:c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</x:sheetData>
  <x:conditionalFormatting sqref="F34:F34">
    <x:cfRule type="containsText" dxfId="0" priority="1" operator="containsText" text="ABOVE"/>
  </x:conditionalFormatting>
  <x:pageMargins left="0.7" right="0.7" top="0.75" bottom="0.75" header="0.3" footer="0.3"/>
  <x:drawing xmlns:r="http://schemas.openxmlformats.org/officeDocument/2006/relationships" r:id="Rd2c50ee23454469a"/>
</x:worksheet>
</file>

<file path=xl/worksheets/sheet2.xml><?xml version="1.0" encoding="utf-8"?>
<x:worksheet xmlns:x="http://schemas.openxmlformats.org/spreadsheetml/2006/main">
  <x:sheetPr>
    <x:tabColor rgb="FF157F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2" customHeight="1">
      <x:c r="A2" s="1"/>
      <x:c r="B2" s="2" t="str">
        <x:v>Performance and cash calculations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1"/>
      <x:c r="B3" s="1" t="str">
        <x:v>USD millions unless stated. Ratios use net sales and cost of sales consistently.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46" customHeight="1">
      <x:c r="A5" s="1"/>
      <x:c r="B5" s="7" t="str">
        <x:v>Fiscal year</x:v>
      </x:c>
      <x:c r="C5" s="7" t="str">
        <x:v>Net sales ($bn)</x:v>
      </x:c>
      <x:c r="D5" s="7" t="str">
        <x:v>Operating margin</x:v>
      </x:c>
      <x:c r="E5" s="7" t="str">
        <x:v>Operating cash ($bn)</x:v>
      </x:c>
      <x:c r="F5" s="7" t="str">
        <x:v>Capex ($bn)</x:v>
      </x:c>
      <x:c r="G5" s="7" t="str">
        <x:v>Free cash ($bn)</x:v>
      </x:c>
      <x:c r="H5" s="7" t="str">
        <x:v>Net sales growth</x:v>
      </x:c>
      <x:c r="I5" s="7" t="str">
        <x:v>DSO days</x:v>
      </x:c>
      <x:c r="J5" s="7" t="str">
        <x:v>DIO days</x:v>
      </x:c>
      <x:c r="K5" s="7" t="str">
        <x:v>DPO days</x:v>
      </x:c>
      <x:c r="L5" s="7" t="str">
        <x:v>Cash cycle days</x:v>
      </x:c>
      <x:c r="M5" s="7" t="str">
        <x:v>Capex / net sales</x:v>
      </x:c>
      <x:c r="N5" s="1"/>
      <x:c r="O5" s="1"/>
      <x:c r="P5" s="1"/>
    </x:row>
    <x:row r="6" ht="22" customHeight="1">
      <x:c r="A6" s="1"/>
      <x:c r="B6" s="1" t="n">
        <x:f>'Inputs'!B6</x:f>
        <x:v>2023</x:v>
      </x:c>
      <x:c r="C6" s="17" t="n">
        <x:f>'Inputs'!C6/'Inputs'!$C$21</x:f>
        <x:v>605.881</x:v>
      </x:c>
      <x:c r="D6" s="18" t="n">
        <x:f>'Inputs'!E6/'Inputs'!C6</x:f>
        <x:v>0.03371619179343799</x:v>
      </x:c>
      <x:c r="E6" s="17" t="str">
        <x:f>"n.a."</x:f>
        <x:v>n.a.</x:v>
      </x:c>
      <x:c r="F6" s="17" t="str">
        <x:f>"n.a."</x:f>
        <x:v>n.a.</x:v>
      </x:c>
      <x:c r="G6" s="17" t="str">
        <x:f>"n.a."</x:f>
        <x:v>n.a.</x:v>
      </x:c>
      <x:c r="H6" s="18" t="str">
        <x:f>"n.a."</x:f>
        <x:v>n.a.</x:v>
      </x:c>
      <x:c r="I6" s="19" t="str">
        <x:f>"n.a."</x:f>
        <x:v>n.a.</x:v>
      </x:c>
      <x:c r="J6" s="19" t="str">
        <x:f>"n.a."</x:f>
        <x:v>n.a.</x:v>
      </x:c>
      <x:c r="K6" s="19" t="str">
        <x:f>"n.a."</x:f>
        <x:v>n.a.</x:v>
      </x:c>
      <x:c r="L6" s="19" t="str">
        <x:f>"n.a."</x:f>
        <x:v>n.a.</x:v>
      </x:c>
      <x:c r="M6" s="20" t="str">
        <x:f>"n.a."</x:f>
        <x:v>n.a.</x:v>
      </x:c>
      <x:c r="N6" s="1"/>
      <x:c r="O6" s="1"/>
      <x:c r="P6" s="1"/>
    </x:row>
    <x:row r="7" ht="22" customHeight="1">
      <x:c r="A7" s="1"/>
      <x:c r="B7" s="1" t="n">
        <x:f>'Inputs'!B7</x:f>
        <x:v>2024</x:v>
      </x:c>
      <x:c r="C7" s="17" t="n">
        <x:f>'Inputs'!C7/'Inputs'!$C$21</x:f>
        <x:v>642.637</x:v>
      </x:c>
      <x:c r="D7" s="18" t="n">
        <x:f>'Inputs'!E7/'Inputs'!C7</x:f>
        <x:v>0.04203306065477089</x:v>
      </x:c>
      <x:c r="E7" s="17" t="n">
        <x:f>'Inputs'!F7/'Inputs'!$C$21</x:f>
        <x:v>35.726</x:v>
      </x:c>
      <x:c r="F7" s="17" t="n">
        <x:f>'Inputs'!G7/'Inputs'!$C$21</x:f>
        <x:v>20.606</x:v>
      </x:c>
      <x:c r="G7" s="17" t="n">
        <x:f>E7-F7</x:f>
        <x:v>15.119999999999997</x:v>
      </x:c>
      <x:c r="H7" s="18" t="n">
        <x:f>'Inputs'!C7/'Inputs'!C6-1</x:f>
        <x:v>0.06066537818482498</x:v>
      </x:c>
      <x:c r="I7" s="19" t="n">
        <x:f>AVERAGE('Inputs'!H6:H7)/'Inputs'!C7*'Inputs'!$C$20</x:f>
        <x:v>4.750804108695889</x:v>
      </x:c>
      <x:c r="J7" s="19" t="n">
        <x:f>AVERAGE('Inputs'!I6:I7)/'Inputs'!D7*'Inputs'!$C$20</x:f>
        <x:v>41.50411513398158</x:v>
      </x:c>
      <x:c r="K7" s="19" t="n">
        <x:f>AVERAGE('Inputs'!J6:J7)/'Inputs'!D7*'Inputs'!$C$20</x:f>
        <x:v>41.16379538990741</x:v>
      </x:c>
      <x:c r="L7" s="19" t="n">
        <x:f>I7+J7-K7</x:f>
        <x:v>5.091123852770053</x:v>
      </x:c>
      <x:c r="M7" s="20" t="n">
        <x:f>'Inputs'!G7/'Inputs'!C7</x:f>
        <x:v>0.03206475817607763</x:v>
      </x:c>
      <x:c r="N7" s="1"/>
      <x:c r="O7" s="1"/>
      <x:c r="P7" s="1"/>
    </x:row>
    <x:row r="8" ht="22" customHeight="1">
      <x:c r="A8" s="1"/>
      <x:c r="B8" s="1" t="n">
        <x:f>'Inputs'!B8</x:f>
        <x:v>2025</x:v>
      </x:c>
      <x:c r="C8" s="17" t="n">
        <x:f>'Inputs'!C8/'Inputs'!$C$21</x:f>
        <x:v>674.538</x:v>
      </x:c>
      <x:c r="D8" s="18" t="n">
        <x:f>'Inputs'!E8/'Inputs'!C8</x:f>
        <x:v>0.043508297531050885</x:v>
      </x:c>
      <x:c r="E8" s="17" t="n">
        <x:f>'Inputs'!F8/'Inputs'!$C$21</x:f>
        <x:v>36.443</x:v>
      </x:c>
      <x:c r="F8" s="17" t="n">
        <x:f>'Inputs'!G8/'Inputs'!$C$21</x:f>
        <x:v>23.783</x:v>
      </x:c>
      <x:c r="G8" s="17" t="n">
        <x:f>E8-F8</x:f>
        <x:v>12.659999999999997</x:v>
      </x:c>
      <x:c r="H8" s="18" t="n">
        <x:f>'Inputs'!C8/'Inputs'!C7-1</x:f>
        <x:v>0.0496407769860745</x:v>
      </x:c>
      <x:c r="I8" s="19" t="n">
        <x:f>AVERAGE('Inputs'!H7:H8)/'Inputs'!C8*'Inputs'!$C$20</x:f>
        <x:v>5.078598240573548</x:v>
      </x:c>
      <x:c r="J8" s="19" t="n">
        <x:f>AVERAGE('Inputs'!I7:I8)/'Inputs'!D8*'Inputs'!$C$20</x:f>
        <x:v>39.70114000308743</x:v>
      </x:c>
      <x:c r="K8" s="19" t="n">
        <x:f>AVERAGE('Inputs'!J7:J8)/'Inputs'!D8*'Inputs'!$C$20</x:f>
        <x:v>41.181458633364144</x:v>
      </x:c>
      <x:c r="L8" s="19" t="n">
        <x:f>I8+J8-K8</x:f>
        <x:v>3.598279610296835</x:v>
      </x:c>
      <x:c r="M8" s="20" t="n">
        <x:f>'Inputs'!G8/'Inputs'!C8</x:f>
        <x:v>0.03525820635753656</x:v>
      </x:c>
      <x:c r="N8" s="1"/>
      <x:c r="O8" s="1"/>
      <x:c r="P8" s="1"/>
    </x:row>
    <x:row r="9" ht="22" customHeight="1">
      <x:c r="A9" s="1"/>
      <x:c r="B9" s="1" t="n">
        <x:f>'Inputs'!B9</x:f>
        <x:v>2026</x:v>
      </x:c>
      <x:c r="C9" s="17" t="n">
        <x:f>'Inputs'!C9/'Inputs'!$C$21</x:f>
        <x:v>706.413</x:v>
      </x:c>
      <x:c r="D9" s="18" t="n">
        <x:f>'Inputs'!E9/'Inputs'!C9</x:f>
        <x:v>0.04222034418958881</x:v>
      </x:c>
      <x:c r="E9" s="17" t="n">
        <x:f>'Inputs'!F9/'Inputs'!$C$21</x:f>
        <x:v>41.565</x:v>
      </x:c>
      <x:c r="F9" s="17" t="n">
        <x:f>'Inputs'!G9/'Inputs'!$C$21</x:f>
        <x:v>26.642</x:v>
      </x:c>
      <x:c r="G9" s="17" t="n">
        <x:f>E9-F9</x:f>
        <x:v>14.922999999999998</x:v>
      </x:c>
      <x:c r="H9" s="18" t="n">
        <x:f>'Inputs'!C9/'Inputs'!C8-1</x:f>
        <x:v>0.047254565346948496</x:v>
      </x:c>
      <x:c r="I9" s="19" t="n">
        <x:f>AVERAGE('Inputs'!H8:H9)/'Inputs'!C9*'Inputs'!$C$20</x:f>
        <x:v>5.463273609064386</x:v>
      </x:c>
      <x:c r="J9" s="19" t="n">
        <x:f>AVERAGE('Inputs'!I8:I9)/'Inputs'!D9*'Inputs'!$C$20</x:f>
        <x:v>39.29751865445139</x:v>
      </x:c>
      <x:c r="K9" s="19" t="n">
        <x:f>AVERAGE('Inputs'!J8:J9)/'Inputs'!D9*'Inputs'!$C$20</x:f>
        <x:v>41.49306119780723</x:v>
      </x:c>
      <x:c r="L9" s="19" t="n">
        <x:f>I9+J9-K9</x:f>
        <x:v>3.2677310657085457</x:v>
      </x:c>
      <x:c r="M9" s="20" t="n">
        <x:f>'Inputs'!G9/'Inputs'!C9</x:f>
        <x:v>0.03771448147188684</x:v>
      </x:c>
      <x:c r="N9" s="1"/>
      <x:c r="O9" s="1"/>
      <x:c r="P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30" customHeight="1">
      <x:c r="A13" s="1"/>
      <x:c r="B13" s="7" t="str">
        <x:v>FY25 initial guidance</x:v>
      </x:c>
      <x:c r="C13" s="7" t="str">
        <x:v>Low</x:v>
      </x:c>
      <x:c r="D13" s="7" t="str">
        <x:v>High</x:v>
      </x:c>
      <x:c r="E13" s="7" t="str">
        <x:v>Midpoint</x:v>
      </x:c>
      <x:c r="F13" s="7" t="str">
        <x:v>Actual</x:v>
      </x:c>
      <x:c r="G13" s="7" t="str">
        <x:v>Variance</x:v>
      </x:c>
      <x:c r="H13" s="7" t="str">
        <x:v>Position</x:v>
      </x:c>
      <x:c r="I13" s="1"/>
      <x:c r="J13" s="1"/>
      <x:c r="K13" s="1"/>
      <x:c r="L13" s="1"/>
      <x:c r="M13" s="1"/>
      <x:c r="N13" s="1"/>
      <x:c r="O13" s="1"/>
      <x:c r="P13" s="1"/>
    </x:row>
    <x:row r="14" ht="22" customHeight="1">
      <x:c r="A14" s="1"/>
      <x:c r="B14" s="1" t="str">
        <x:f>'Inputs'!B13</x:f>
        <x:v>Net sales growth (cc)</x:v>
      </x:c>
      <x:c r="C14" s="20" t="n">
        <x:f>'Inputs'!C13</x:f>
        <x:v>0.03</x:v>
      </x:c>
      <x:c r="D14" s="20" t="n">
        <x:f>'Inputs'!D13</x:f>
        <x:v>0.04</x:v>
      </x:c>
      <x:c r="E14" s="20" t="n">
        <x:f>AVERAGE(C14:D14)</x:f>
        <x:v>0.035</x:v>
      </x:c>
      <x:c r="F14" s="20" t="n">
        <x:f>'Inputs'!E13</x:f>
        <x:v>0.0546171478</x:v>
      </x:c>
      <x:c r="G14" s="20" t="n">
        <x:f>F14-E14</x:f>
        <x:v>0.019617147799999998</x:v>
      </x:c>
      <x:c r="H14" s="1" t="str">
        <x:f>IF(F14&gt;D14,"ABOVE",IF(F14&lt;C14,"BELOW","WITHIN"))</x:f>
        <x:v>ABOVE</x:v>
      </x:c>
      <x:c r="I14" s="1"/>
      <x:c r="J14" s="1"/>
      <x:c r="K14" s="1"/>
      <x:c r="L14" s="1"/>
      <x:c r="M14" s="1"/>
      <x:c r="N14" s="1"/>
      <x:c r="O14" s="1"/>
      <x:c r="P14" s="1"/>
    </x:row>
    <x:row r="15" ht="22" customHeight="1">
      <x:c r="A15" s="1"/>
      <x:c r="B15" s="1" t="str">
        <x:f>'Inputs'!B14</x:f>
        <x:v>Adjusted OI growth (cc)</x:v>
      </x:c>
      <x:c r="C15" s="20" t="n">
        <x:f>'Inputs'!C14</x:f>
        <x:v>0.04</x:v>
      </x:c>
      <x:c r="D15" s="20" t="n">
        <x:f>'Inputs'!D14</x:f>
        <x:v>0.06</x:v>
      </x:c>
      <x:c r="E15" s="20" t="n">
        <x:f>AVERAGE(C15:D15)</x:f>
        <x:v>0.05</x:v>
      </x:c>
      <x:c r="F15" s="20" t="n">
        <x:f>'Inputs'!E14</x:f>
        <x:v>0.0974358974</x:v>
      </x:c>
      <x:c r="G15" s="20" t="n">
        <x:f>F15-E15</x:f>
        <x:v>0.047435897399999996</x:v>
      </x:c>
      <x:c r="H15" s="1" t="str">
        <x:f>IF(F15&gt;D15,"ABOVE",IF(F15&lt;C15,"BELOW","WITHIN"))</x:f>
        <x:v>ABOVE</x:v>
      </x:c>
      <x:c r="I15" s="1"/>
      <x:c r="J15" s="1"/>
      <x:c r="K15" s="1"/>
      <x:c r="L15" s="1"/>
      <x:c r="M15" s="1"/>
      <x:c r="N15" s="1"/>
      <x:c r="O15" s="1"/>
      <x:c r="P15" s="1"/>
    </x:row>
    <x:row r="16" ht="22" customHeight="1">
      <x:c r="A16" s="1"/>
      <x:c r="B16" s="1" t="str">
        <x:f>'Inputs'!B15</x:f>
        <x:v>Adjusted EPS</x:v>
      </x:c>
      <x:c r="C16" s="17" t="n">
        <x:f>'Inputs'!C15</x:f>
        <x:v>2.23</x:v>
      </x:c>
      <x:c r="D16" s="17" t="n">
        <x:f>'Inputs'!D15</x:f>
        <x:v>2.37</x:v>
      </x:c>
      <x:c r="E16" s="17" t="n">
        <x:f>AVERAGE(C16:D16)</x:f>
        <x:v>2.3</x:v>
      </x:c>
      <x:c r="F16" s="17" t="n">
        <x:f>'Inputs'!E15</x:f>
        <x:v>2.51</x:v>
      </x:c>
      <x:c r="G16" s="17" t="n">
        <x:f>F16-E16</x:f>
        <x:v>0.20999999999999996</x:v>
      </x:c>
      <x:c r="H16" s="1" t="str">
        <x:f>IF(F16&gt;D16,"ABOVE",IF(F16&lt;C16,"BELOW","WITHIN"))</x:f>
        <x:v>ABOVE</x:v>
      </x:c>
      <x:c r="I16" s="1"/>
      <x:c r="J16" s="1"/>
      <x:c r="K16" s="1"/>
      <x:c r="L16" s="1"/>
      <x:c r="M16" s="1"/>
      <x:c r="N16" s="1"/>
      <x:c r="O16" s="1"/>
      <x:c r="P16" s="1"/>
    </x:row>
    <x:row r="17" ht="22" customHeight="1">
      <x:c r="A17" s="1"/>
      <x:c r="B17" s="1" t="str">
        <x:f>'Inputs'!B16</x:f>
        <x:v>Capex / net sales</x:v>
      </x:c>
      <x:c r="C17" s="20" t="n">
        <x:f>'Inputs'!C16</x:f>
        <x:v>0.03</x:v>
      </x:c>
      <x:c r="D17" s="20" t="n">
        <x:f>'Inputs'!D16</x:f>
        <x:v>0.035</x:v>
      </x:c>
      <x:c r="E17" s="20" t="n">
        <x:f>AVERAGE(C17:D17)</x:f>
        <x:v>0.0325</x:v>
      </x:c>
      <x:c r="F17" s="20" t="n">
        <x:f>'Inputs'!E16</x:f>
        <x:v>0.0352582064</x:v>
      </x:c>
      <x:c r="G17" s="20" t="n">
        <x:f>F17-E17</x:f>
        <x:v>0.0027582063999999976</x:v>
      </x:c>
      <x:c r="H17" s="1" t="str">
        <x:f>IF(F17&gt;D17,"ABOVE",IF(F17&lt;C17,"BELOW","WITHIN"))</x:f>
        <x:v>ABOVE</x:v>
      </x:c>
      <x:c r="I17" s="1"/>
      <x:c r="J17" s="1"/>
      <x:c r="K17" s="1"/>
      <x:c r="L17" s="1"/>
      <x:c r="M17" s="1"/>
      <x:c r="N17" s="1"/>
      <x:c r="O17" s="1"/>
      <x:c r="P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2" customHeight="1">
      <x:c r="A20" s="1"/>
      <x:c r="B20" s="1" t="str">
        <x:v>Working-capital definitions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2" customHeight="1">
      <x:c r="A21" s="1"/>
      <x:c r="B21" s="1" t="str">
        <x:v>DSO = average net receivables / net sales × day basis.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2" customHeight="1">
      <x:c r="A22" s="1"/>
      <x:c r="B22" s="1" t="str">
        <x:v>DIO = average inventory / cost of sales × day basis.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2" customHeight="1">
      <x:c r="A23" s="1"/>
      <x:c r="B23" s="1" t="str">
        <x:v>DPO = average payables / cost of sales × day basis.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2" customHeight="1">
      <x:c r="A24" s="1"/>
      <x:c r="B24" s="1" t="str">
        <x:v>Cash cycle = DSO + DIO − DPO. This is a derived measure.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2" customHeight="1">
      <x:c r="A27" s="1"/>
      <x:c r="B27" s="1" t="str">
        <x:v>FY25 net sales growth uses $677,736m constant-currency sales / $642,637m reported baseline.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2" customHeight="1">
      <x:c r="A28" s="1"/>
      <x:c r="B28" s="1" t="str">
        <x:v>FY25 adjusted OI growth uses $29,746m / $27,105m adjusted baseline.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2" customHeight="1">
      <x:c r="A29" s="1"/>
      <x:c r="B29" s="1" t="str">
        <x:v>Percentage-metric variances are percentage-point differences. EPS variance is USD per share.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2" customHeight="1">
      <x:c r="A31" s="1"/>
      <x:c r="B31" s="1" t="str">
        <x:v>Independent reconciliation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2" customHeight="1">
      <x:c r="A32" s="1"/>
      <x:c r="B32" s="1" t="str">
        <x:v>FY26 free cash flow difference</x:v>
      </x:c>
      <x:c r="C32" s="22" t="n">
        <x:f>G9-14923/'Inputs'!$C$21</x:f>
        <x:v>-1.7763568394002505e-15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2" customHeight="1">
      <x:c r="A33" s="1"/>
      <x:c r="B33" s="1" t="str">
        <x:v>FY25 net sales growth difference</x:v>
      </x:c>
      <x:c r="C33" s="22" t="n">
        <x:f>F14-'Inputs'!E44</x:f>
        <x:v>1.6725801299521947e-11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2" customHeight="1">
      <x:c r="A34" s="1"/>
      <x:c r="B34" s="1" t="str">
        <x:v>FY25 adjusted OI growth difference</x:v>
      </x:c>
      <x:c r="C34" s="22" t="n">
        <x:f>F15-'Inputs'!E45</x:f>
        <x:v>-3.589753494459558e-11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2" customHeight="1">
      <x:c r="A35" s="1"/>
      <x:c r="B35" s="1" t="str">
        <x:v>FY25 capex ratio difference</x:v>
      </x:c>
      <x:c r="C35" s="22" t="n">
        <x:f>F17-'Inputs'!E46</x:f>
        <x:v>4.2463435545592176e-11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30" customHeight="1">
      <x:c r="A39" s="1"/>
      <x:c r="B39" s="7" t="str">
        <x:v>Fiscal year</x:v>
      </x:c>
      <x:c r="C39" s="7" t="str">
        <x:v>Operating cash</x:v>
      </x:c>
      <x:c r="D39" s="7" t="str">
        <x:v>Capex</x:v>
      </x:c>
      <x:c r="E39" s="7" t="str">
        <x:v>Free cash</x:v>
      </x:c>
      <x:c r="F39" s="7" t="str">
        <x:v>Cash cycle days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2" customHeight="1">
      <x:c r="A40" s="1"/>
      <x:c r="B40" s="1" t="str">
        <x:f>"FY"&amp;B7</x:f>
        <x:v>FY2024</x:v>
      </x:c>
      <x:c r="C40" s="19" t="n">
        <x:f>E7</x:f>
        <x:v>35.726</x:v>
      </x:c>
      <x:c r="D40" s="19" t="n">
        <x:f>F7</x:f>
        <x:v>20.606</x:v>
      </x:c>
      <x:c r="E40" s="19" t="n">
        <x:f>G7</x:f>
        <x:v>15.119999999999997</x:v>
      </x:c>
      <x:c r="F40" s="19" t="n">
        <x:f>L7</x:f>
        <x:v>5.091123852770053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2" customHeight="1">
      <x:c r="A41" s="1"/>
      <x:c r="B41" s="1" t="str">
        <x:f>"FY"&amp;B8</x:f>
        <x:v>FY2025</x:v>
      </x:c>
      <x:c r="C41" s="19" t="n">
        <x:f>E8</x:f>
        <x:v>36.443</x:v>
      </x:c>
      <x:c r="D41" s="19" t="n">
        <x:f>F8</x:f>
        <x:v>23.783</x:v>
      </x:c>
      <x:c r="E41" s="19" t="n">
        <x:f>G8</x:f>
        <x:v>12.659999999999997</x:v>
      </x:c>
      <x:c r="F41" s="19" t="n">
        <x:f>L8</x:f>
        <x:v>3.598279610296835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2" customHeight="1">
      <x:c r="A42" s="1"/>
      <x:c r="B42" s="1" t="str">
        <x:f>"FY"&amp;B9</x:f>
        <x:v>FY2026</x:v>
      </x:c>
      <x:c r="C42" s="19" t="n">
        <x:f>E9</x:f>
        <x:v>41.565</x:v>
      </x:c>
      <x:c r="D42" s="19" t="n">
        <x:f>F9</x:f>
        <x:v>26.642</x:v>
      </x:c>
      <x:c r="E42" s="19" t="n">
        <x:f>G9</x:f>
        <x:v>14.922999999999998</x:v>
      </x:c>
      <x:c r="F42" s="19" t="n">
        <x:f>L9</x:f>
        <x:v>3.2677310657085457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FD1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3" hidden="0" customWidth="1"/>
    <x:col min="3" max="3" width="12" hidden="0" customWidth="1"/>
    <x:col min="4" max="4" width="12" hidden="0" customWidth="1"/>
    <x:col min="5" max="5" width="12" hidden="0" customWidth="1"/>
    <x:col min="6" max="6" width="34" hidden="0" customWidth="1"/>
    <x:col min="7" max="7" width="20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2" customHeight="1">
      <x:c r="A2" s="1"/>
      <x:c r="B2" s="2" t="str">
        <x:v>Walmart public financial inputs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1"/>
      <x:c r="B3" s="1" t="str">
        <x:v>USD millions. Fiscal years end January 31. Blue values are source inputs.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46" customHeight="1">
      <x:c r="A5" s="1"/>
      <x:c r="B5" s="7" t="str">
        <x:v>Fiscal year</x:v>
      </x:c>
      <x:c r="C5" s="7" t="str">
        <x:v>Net sales</x:v>
      </x:c>
      <x:c r="D5" s="7" t="str">
        <x:v>Cost of sales</x:v>
      </x:c>
      <x:c r="E5" s="7" t="str">
        <x:v>Operating income</x:v>
      </x:c>
      <x:c r="F5" s="7" t="str">
        <x:v>Operating cash</x:v>
      </x:c>
      <x:c r="G5" s="7" t="str">
        <x:v>Capex</x:v>
      </x:c>
      <x:c r="H5" s="7" t="str">
        <x:v>Receivables</x:v>
      </x:c>
      <x:c r="I5" s="7" t="str">
        <x:v>Inventory</x:v>
      </x:c>
      <x:c r="J5" s="7" t="str">
        <x:v>Payables</x:v>
      </x:c>
      <x:c r="K5" s="7" t="str">
        <x:v>Total revenue</x:v>
      </x:c>
      <x:c r="L5" s="7" t="str">
        <x:v>Net income</x:v>
      </x:c>
      <x:c r="M5" s="7" t="str">
        <x:v>Cash</x:v>
      </x:c>
      <x:c r="N5" s="1"/>
      <x:c r="O5" s="1"/>
      <x:c r="P5" s="1"/>
    </x:row>
    <x:row r="6" ht="22" customHeight="1">
      <x:c r="A6" s="1"/>
      <x:c r="B6" s="1" t="n">
        <x:v>2023</x:v>
      </x:c>
      <x:c r="C6" s="9" t="n">
        <x:v>605881</x:v>
      </x:c>
      <x:c r="D6" s="9" t="n">
        <x:v>463721</x:v>
      </x:c>
      <x:c r="E6" s="9" t="n">
        <x:v>20428</x:v>
      </x:c>
      <x:c r="F6" s="9"/>
      <x:c r="G6" s="9"/>
      <x:c r="H6" s="9" t="n">
        <x:v>7933</x:v>
      </x:c>
      <x:c r="I6" s="9" t="n">
        <x:v>56576</x:v>
      </x:c>
      <x:c r="J6" s="9" t="n">
        <x:v>53742</x:v>
      </x:c>
      <x:c r="K6" s="9" t="n">
        <x:v>611289</x:v>
      </x:c>
      <x:c r="L6" s="9" t="n">
        <x:v>11292</x:v>
      </x:c>
      <x:c r="M6" s="9" t="n">
        <x:v>8625</x:v>
      </x:c>
      <x:c r="N6" s="1"/>
      <x:c r="O6" s="1"/>
      <x:c r="P6" s="1"/>
    </x:row>
    <x:row r="7" ht="22" customHeight="1">
      <x:c r="A7" s="1"/>
      <x:c r="B7" s="1" t="n">
        <x:v>2024</x:v>
      </x:c>
      <x:c r="C7" s="9" t="n">
        <x:v>642637</x:v>
      </x:c>
      <x:c r="D7" s="9" t="n">
        <x:v>490142</x:v>
      </x:c>
      <x:c r="E7" s="9" t="n">
        <x:v>27012</x:v>
      </x:c>
      <x:c r="F7" s="9" t="n">
        <x:v>35726</x:v>
      </x:c>
      <x:c r="G7" s="9" t="n">
        <x:v>20606</x:v>
      </x:c>
      <x:c r="H7" s="9" t="n">
        <x:v>8796</x:v>
      </x:c>
      <x:c r="I7" s="9" t="n">
        <x:v>54892</x:v>
      </x:c>
      <x:c r="J7" s="9" t="n">
        <x:v>56812</x:v>
      </x:c>
      <x:c r="K7" s="9" t="n">
        <x:v>648125</x:v>
      </x:c>
      <x:c r="L7" s="9" t="n">
        <x:v>16270</x:v>
      </x:c>
      <x:c r="M7" s="9" t="n">
        <x:v>9867</x:v>
      </x:c>
      <x:c r="N7" s="1"/>
      <x:c r="O7" s="1"/>
      <x:c r="P7" s="1"/>
    </x:row>
    <x:row r="8" ht="22" customHeight="1">
      <x:c r="A8" s="1"/>
      <x:c r="B8" s="1" t="n">
        <x:v>2025</x:v>
      </x:c>
      <x:c r="C8" s="9" t="n">
        <x:v>674538</x:v>
      </x:c>
      <x:c r="D8" s="9" t="n">
        <x:v>511753</x:v>
      </x:c>
      <x:c r="E8" s="9" t="n">
        <x:v>29348</x:v>
      </x:c>
      <x:c r="F8" s="9" t="n">
        <x:v>36443</x:v>
      </x:c>
      <x:c r="G8" s="9" t="n">
        <x:v>23783</x:v>
      </x:c>
      <x:c r="H8" s="9" t="n">
        <x:v>9975</x:v>
      </x:c>
      <x:c r="I8" s="9" t="n">
        <x:v>56435</x:v>
      </x:c>
      <x:c r="J8" s="9" t="n">
        <x:v>58666</x:v>
      </x:c>
      <x:c r="K8" s="9" t="n">
        <x:v>680985</x:v>
      </x:c>
      <x:c r="L8" s="9" t="n">
        <x:v>20157</x:v>
      </x:c>
      <x:c r="M8" s="9" t="n">
        <x:v>9037</x:v>
      </x:c>
      <x:c r="N8" s="1"/>
      <x:c r="O8" s="1"/>
      <x:c r="P8" s="1"/>
    </x:row>
    <x:row r="9" ht="22" customHeight="1">
      <x:c r="A9" s="1"/>
      <x:c r="B9" s="1" t="n">
        <x:v>2026</x:v>
      </x:c>
      <x:c r="C9" s="9" t="n">
        <x:v>706413</x:v>
      </x:c>
      <x:c r="D9" s="9" t="n">
        <x:v>535395</x:v>
      </x:c>
      <x:c r="E9" s="9" t="n">
        <x:v>29825</x:v>
      </x:c>
      <x:c r="F9" s="9" t="n">
        <x:v>41565</x:v>
      </x:c>
      <x:c r="G9" s="9" t="n">
        <x:v>26642</x:v>
      </x:c>
      <x:c r="H9" s="9" t="n">
        <x:v>11172</x:v>
      </x:c>
      <x:c r="I9" s="9" t="n">
        <x:v>58851</x:v>
      </x:c>
      <x:c r="J9" s="9" t="n">
        <x:v>63061</x:v>
      </x:c>
      <x:c r="K9" s="9" t="n">
        <x:v>713163</x:v>
      </x:c>
      <x:c r="L9" s="9" t="n">
        <x:v>22270</x:v>
      </x:c>
      <x:c r="M9" s="9" t="n">
        <x:v>10727</x:v>
      </x:c>
      <x:c r="N9" s="1"/>
      <x:c r="O9" s="1"/>
      <x:c r="P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30" customHeight="1">
      <x:c r="A12" s="1"/>
      <x:c r="B12" s="7" t="str">
        <x:v>FY25 public guidance</x:v>
      </x:c>
      <x:c r="C12" s="7" t="str">
        <x:v>Low</x:v>
      </x:c>
      <x:c r="D12" s="7" t="str">
        <x:v>High</x:v>
      </x:c>
      <x:c r="E12" s="7" t="str">
        <x:v>Actual</x:v>
      </x:c>
      <x:c r="F12" s="7" t="str">
        <x:v>Basis</x:v>
      </x:c>
      <x:c r="G12" s="7" t="str">
        <x:v>Unit</x:v>
      </x:c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2" customHeight="1">
      <x:c r="A13" s="1"/>
      <x:c r="B13" s="1" t="str">
        <x:v>Net sales growth (cc)</x:v>
      </x:c>
      <x:c r="C13" s="11" t="n">
        <x:v>0.03</x:v>
      </x:c>
      <x:c r="D13" s="11" t="n">
        <x:v>0.04</x:v>
      </x:c>
      <x:c r="E13" s="11" t="n">
        <x:v>0.0546171478</x:v>
      </x:c>
      <x:c r="F13" s="1" t="str">
        <x:v>CONSTANT_CURRENCY</x:v>
      </x:c>
      <x:c r="G13" s="1" t="str">
        <x:v>percentage</x:v>
      </x:c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2" customHeight="1">
      <x:c r="A14" s="1"/>
      <x:c r="B14" s="1" t="str">
        <x:v>Adjusted OI growth (cc)</x:v>
      </x:c>
      <x:c r="C14" s="11" t="n">
        <x:v>0.04</x:v>
      </x:c>
      <x:c r="D14" s="11" t="n">
        <x:v>0.06</x:v>
      </x:c>
      <x:c r="E14" s="11" t="n">
        <x:v>0.0974358974</x:v>
      </x:c>
      <x:c r="F14" s="1" t="str">
        <x:v>ADJUSTED_CONSTANT_CURRENCY</x:v>
      </x:c>
      <x:c r="G14" s="1" t="str">
        <x:v>percentage</x:v>
      </x:c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2" customHeight="1">
      <x:c r="A15" s="1"/>
      <x:c r="B15" s="1" t="str">
        <x:v>Adjusted EPS</x:v>
      </x:c>
      <x:c r="C15" s="12" t="n">
        <x:v>2.23</x:v>
      </x:c>
      <x:c r="D15" s="12" t="n">
        <x:v>2.37</x:v>
      </x:c>
      <x:c r="E15" s="12" t="n">
        <x:v>2.51</x:v>
      </x:c>
      <x:c r="F15" s="1" t="str">
        <x:v>ADJUSTED_POST_SPLIT</x:v>
      </x:c>
      <x:c r="G15" s="1" t="str">
        <x:v>usd_per_share</x:v>
      </x:c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2" customHeight="1">
      <x:c r="A16" s="1"/>
      <x:c r="B16" s="1" t="str">
        <x:v>Capex / net sales</x:v>
      </x:c>
      <x:c r="C16" s="13" t="n">
        <x:v>0.03</x:v>
      </x:c>
      <x:c r="D16" s="13" t="n">
        <x:v>0.035</x:v>
      </x:c>
      <x:c r="E16" s="13" t="n">
        <x:v>0.0352582064</x:v>
      </x:c>
      <x:c r="F16" s="1" t="str">
        <x:v>REPORTED_NET_SALES</x:v>
      </x:c>
      <x:c r="G16" s="1" t="str">
        <x:v>percentage</x:v>
      </x:c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30" customHeight="1">
      <x:c r="A19" s="1"/>
      <x:c r="B19" s="7" t="str">
        <x:v>Control from rules.yaml</x:v>
      </x:c>
      <x:c r="C19" s="7" t="str">
        <x:v>Value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2" customHeight="1">
      <x:c r="A20" s="1"/>
      <x:c r="B20" s="1" t="str">
        <x:v>Day basis</x:v>
      </x:c>
      <x:c r="C20" s="10" t="n">
        <x:v>365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2" customHeight="1">
      <x:c r="A21" s="1"/>
      <x:c r="B21" s="1" t="str">
        <x:v>USD millions per billion</x:v>
      </x:c>
      <x:c r="C21" s="10" t="n">
        <x:v>1000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2" customHeight="1">
      <x:c r="A22" s="1"/>
      <x:c r="B22" s="1" t="str">
        <x:v>Materiality versus midpoint</x:v>
      </x:c>
      <x:c r="C22" s="11" t="n">
        <x:v>0.01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2" customHeight="1">
      <x:c r="A23" s="1"/>
      <x:c r="B23" s="1" t="str">
        <x:v>Near-zero denominator</x:v>
      </x:c>
      <x:c r="C23" s="10" t="n">
        <x:v>1e-9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2" customHeight="1">
      <x:c r="A24" s="1"/>
      <x:c r="B24" s="1" t="str">
        <x:v>Basis-point scale</x:v>
      </x:c>
      <x:c r="C24" s="10" t="n">
        <x:v>10000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2" customHeight="1">
      <x:c r="A27" s="1"/>
      <x:c r="B27" s="14" t="str">
        <x:v>Public-source register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2" customHeight="1">
      <x:c r="A29" s="1"/>
      <x:c r="B29" s="1" t="str">
        <x:v>FY2026 10-K</x:v>
      </x:c>
      <x:c r="C29" s="1" t="str">
        <x:v>https://www.sec.gov/Archives/edgar/data/104169/000010416926000055/wmt-20260131.htm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2" customHeight="1">
      <x:c r="A30" s="1"/>
      <x:c r="B30" s="1"/>
      <x:c r="C30" s="1" t="str">
        <x:v>Income statement p52. Balance sheet p54. Cash flow p56.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2" customHeight="1">
      <x:c r="A32" s="1"/>
      <x:c r="B32" s="1" t="str">
        <x:v>FY2024 10-K</x:v>
      </x:c>
      <x:c r="C32" s="1" t="str">
        <x:v>https://www.sec.gov/Archives/edgar/data/104169/000010416924000056/wmt-20240131.htm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2" customHeight="1">
      <x:c r="A33" s="1"/>
      <x:c r="B33" s="1"/>
      <x:c r="C33" s="1" t="str">
        <x:v>FY2023 opening balances for average working capital.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2" customHeight="1">
      <x:c r="A35" s="1"/>
      <x:c r="B35" s="1" t="str">
        <x:v>FY2025 initial guidance</x:v>
      </x:c>
      <x:c r="C35" s="1" t="str">
        <x:v>https://www.sec.gov/Archives/edgar/data/104169/000010416924000019/earningsreleasefy24q4.htm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2" customHeight="1">
      <x:c r="A36" s="1"/>
      <x:c r="B36" s="1"/>
      <x:c r="C36" s="1" t="str">
        <x:v>Guidance p5. FY24 adjusted operating income baseline p13.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2" customHeight="1">
      <x:c r="A38" s="1"/>
      <x:c r="B38" s="1" t="str">
        <x:v>FY2025 results</x:v>
      </x:c>
      <x:c r="C38" s="1" t="str">
        <x:v>https://www.sec.gov/Archives/edgar/data/104169/000010416925000010/earningsreleasefy25q4.htm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2" customHeight="1">
      <x:c r="A39" s="1"/>
      <x:c r="B39" s="1"/>
      <x:c r="C39" s="1" t="str">
        <x:v>Constant currency p13. Adjusted operating income p14. EPS p16.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2" customHeight="1">
      <x:c r="A43" s="1"/>
      <x:c r="B43" s="1" t="str">
        <x:v>Comparison calculations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2" customHeight="1">
      <x:c r="A44" s="1"/>
      <x:c r="B44" s="1" t="str">
        <x:v>FY25 net sales growth (cc)</x:v>
      </x:c>
      <x:c r="C44" s="1" t="n">
        <x:v>677736</x:v>
      </x:c>
      <x:c r="D44" s="1" t="n">
        <x:v>642637</x:v>
      </x:c>
      <x:c r="E44" s="16" t="n">
        <x:f>C44/D44-1</x:f>
        <x:v>0.0546171477832742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2" customHeight="1">
      <x:c r="A45" s="1"/>
      <x:c r="B45" s="1" t="str">
        <x:v>FY25 adjusted OI growth (cc)</x:v>
      </x:c>
      <x:c r="C45" s="1" t="n">
        <x:v>29746</x:v>
      </x:c>
      <x:c r="D45" s="1" t="n">
        <x:v>27105</x:v>
      </x:c>
      <x:c r="E45" s="16" t="n">
        <x:f>C45/D45-1</x:f>
        <x:v>0.09743589743589753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2" customHeight="1">
      <x:c r="A46" s="1"/>
      <x:c r="B46" s="1" t="str">
        <x:v>FY25 capex / net sales</x:v>
      </x:c>
      <x:c r="C46" s="1"/>
      <x:c r="D46" s="1"/>
      <x:c r="E46" s="16" t="n">
        <x:f>G8/C8</x:f>
        <x:v>0.03525820635753656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2" customHeight="1">
      <x:c r="A49" s="1"/>
      <x:c r="B49" s="1" t="str">
        <x:v>Growth guidance and actuals use matching currency and adjustment bases.</x:v>
      </x:c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2" customHeight="1">
      <x:c r="A50" s="1"/>
      <x:c r="B50" s="1" t="str">
        <x:v>Capex above guidance requires capital-allocation review.</x:v>
      </x:c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22" customHeight="1">
      <x:c r="A51" s="1"/>
      <x:c r="B51" s="1" t="str">
        <x:v>Source data is an offline snapshot. No automatic refresh or synthetic fallback.</x:v>
      </x:c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</x:sheetData>
  <x:pageMargins left="0.7" right="0.7" top="0.75" bottom="0.75" header="0.3" footer="0.3"/>
</x:worksheet>
</file>